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BC459019-BBEB-45BF-9BD6-8732FFC7BA3F}" xr6:coauthVersionLast="47" xr6:coauthVersionMax="47" xr10:uidLastSave="{00000000-0000-0000-0000-000000000000}"/>
  <bookViews>
    <workbookView xWindow="-120" yWindow="-120" windowWidth="20730" windowHeight="11040" xr2:uid="{7A378A0F-2306-43A8-9758-337081CB2C0B}"/>
  </bookViews>
  <sheets>
    <sheet name="Alimosho LGA" sheetId="1" r:id="rId1"/>
    <sheet name="Alimosho Worksheet" sheetId="2" r:id="rId2"/>
  </sheets>
  <definedNames>
    <definedName name="_xlnm._FilterDatabase" localSheetId="0" hidden="1">'Alimosho LGA'!$A$1:$E$17</definedName>
    <definedName name="_xlnm._FilterDatabase" localSheetId="1" hidden="1">'Alimosho Worksheet'!$A$1:$E$37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5" i="2" l="1"/>
  <c r="H84" i="2"/>
  <c r="H83" i="2"/>
  <c r="H82" i="2"/>
  <c r="H46" i="2"/>
  <c r="H45" i="2"/>
  <c r="H44" i="2"/>
  <c r="H43" i="2"/>
  <c r="H7" i="2"/>
  <c r="H6" i="2"/>
  <c r="H5" i="2"/>
  <c r="H4" i="2"/>
</calcChain>
</file>

<file path=xl/sharedStrings.xml><?xml version="1.0" encoding="utf-8"?>
<sst xmlns="http://schemas.openxmlformats.org/spreadsheetml/2006/main" count="212" uniqueCount="78">
  <si>
    <t>Mortality @ 200 ppm</t>
  </si>
  <si>
    <t>Mortality @ 400 ppm</t>
  </si>
  <si>
    <t>Mortality @ 600 ppm</t>
  </si>
  <si>
    <t>Mortality @ 800 ppm</t>
  </si>
  <si>
    <t>CAS</t>
  </si>
  <si>
    <t>CLE</t>
  </si>
  <si>
    <t>CNN</t>
  </si>
  <si>
    <t>CRS</t>
  </si>
  <si>
    <t>CTY</t>
  </si>
  <si>
    <t>GHW</t>
  </si>
  <si>
    <t>IXA</t>
  </si>
  <si>
    <t>JTP</t>
  </si>
  <si>
    <t>MIC</t>
  </si>
  <si>
    <t>ORG</t>
  </si>
  <si>
    <t>PAW</t>
  </si>
  <si>
    <t>SBK</t>
  </si>
  <si>
    <t>SPY</t>
  </si>
  <si>
    <t>STA</t>
  </si>
  <si>
    <t>TTP</t>
  </si>
  <si>
    <t>VRC</t>
  </si>
  <si>
    <t>Botanical Plant</t>
  </si>
  <si>
    <t>Concentration</t>
  </si>
  <si>
    <t>Replicate</t>
  </si>
  <si>
    <t>Mortality</t>
  </si>
  <si>
    <t>Time</t>
  </si>
  <si>
    <t>Name</t>
  </si>
  <si>
    <t>R1</t>
  </si>
  <si>
    <t>Tetrapleura</t>
  </si>
  <si>
    <t>R2</t>
  </si>
  <si>
    <t>R3</t>
  </si>
  <si>
    <t>R4</t>
  </si>
  <si>
    <t>Plant Scientific Name</t>
  </si>
  <si>
    <t>Plant Common Name</t>
  </si>
  <si>
    <t>Abbreviation</t>
  </si>
  <si>
    <t>Illicium verum</t>
  </si>
  <si>
    <t>Star Anis</t>
  </si>
  <si>
    <t>Coreopsis lancelota</t>
  </si>
  <si>
    <t>Lanced leaf Tickseed</t>
  </si>
  <si>
    <t>Syzygium aromaticum</t>
  </si>
  <si>
    <t>Clove</t>
  </si>
  <si>
    <t>Cinnamum verum</t>
  </si>
  <si>
    <t>Cinnamon</t>
  </si>
  <si>
    <t>Petiveria alliacea:</t>
  </si>
  <si>
    <t>Guinea henweed</t>
  </si>
  <si>
    <t>Agave americana</t>
  </si>
  <si>
    <t>Century</t>
  </si>
  <si>
    <t>Jatropa Caucas</t>
  </si>
  <si>
    <t>Jatropa</t>
  </si>
  <si>
    <t xml:space="preserve">Phyllanthus niruri </t>
  </si>
  <si>
    <t>Stone Breaker</t>
  </si>
  <si>
    <t>Citrus sinensis</t>
  </si>
  <si>
    <t>Orange</t>
  </si>
  <si>
    <t>Ixora coccinea</t>
  </si>
  <si>
    <t>Mahilot esculenta</t>
  </si>
  <si>
    <t>Cassava</t>
  </si>
  <si>
    <t>Sida acuta</t>
  </si>
  <si>
    <t>Wire weed</t>
  </si>
  <si>
    <t>WIW</t>
  </si>
  <si>
    <t>Cordium variegatum</t>
  </si>
  <si>
    <t>Variegated croton</t>
  </si>
  <si>
    <t>Carica papaya</t>
  </si>
  <si>
    <t>Pawpaw</t>
  </si>
  <si>
    <t>Tradescantia spathacea</t>
  </si>
  <si>
    <t>Moses in cradle</t>
  </si>
  <si>
    <t>Yucca gigantea</t>
  </si>
  <si>
    <t>Spineless yucca</t>
  </si>
  <si>
    <t>Tetrapleura tetrapleura</t>
  </si>
  <si>
    <t xml:space="preserve">Local Governments </t>
  </si>
  <si>
    <t>Alimosho</t>
  </si>
  <si>
    <t>Ikorodu</t>
  </si>
  <si>
    <t>Kosofe</t>
  </si>
  <si>
    <t>Amuwo-Odofin</t>
  </si>
  <si>
    <t>Tetrapleura tetrapleura - Tetrapleura (TTP)</t>
  </si>
  <si>
    <t xml:space="preserve">Concentration </t>
  </si>
  <si>
    <t>Average Mortality</t>
  </si>
  <si>
    <t>Ixora (Flame of the forest)</t>
  </si>
  <si>
    <r>
      <t xml:space="preserve">Illicium verum </t>
    </r>
    <r>
      <rPr>
        <sz val="11"/>
        <color theme="1"/>
        <rFont val="Calibri"/>
        <family val="2"/>
        <scheme val="minor"/>
      </rPr>
      <t>- Star Anise (STA)</t>
    </r>
  </si>
  <si>
    <r>
      <t xml:space="preserve">Mahilot esculenta </t>
    </r>
    <r>
      <rPr>
        <sz val="11"/>
        <color theme="1"/>
        <rFont val="Calibri"/>
        <family val="2"/>
        <scheme val="minor"/>
      </rPr>
      <t>- Cassava (CAS)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</si>
</sst>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Alimosho:</a:t>
            </a:r>
            <a:r>
              <a:rPr lang="en-US" b="1" baseline="0"/>
              <a:t> Mortality Response to Concentration (24 hours)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'Alimosho LGA'!$A$2</c:f>
              <c:strCache>
                <c:ptCount val="1"/>
                <c:pt idx="0">
                  <c:v>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LGA'!$B$2:$E$2</c:f>
              <c:numCache>
                <c:formatCode>0.00</c:formatCode>
                <c:ptCount val="4"/>
                <c:pt idx="0">
                  <c:v>8.33</c:v>
                </c:pt>
                <c:pt idx="1">
                  <c:v>9.33</c:v>
                </c:pt>
                <c:pt idx="2">
                  <c:v>10</c:v>
                </c:pt>
                <c:pt idx="3">
                  <c:v>11.67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E-428E-885F-798F19FA6427}"/>
            </c:ext>
          </c:extLst>
        </c:ser>
        <c:ser>
          <c:idx val="1"/>
          <c:order val="1"/>
          <c:tx>
            <c:strRef>
              <c:f>'Alimosho LGA'!$A$3</c:f>
              <c:strCache>
                <c:ptCount val="1"/>
                <c:pt idx="0">
                  <c:v>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LGA'!$B$3:$E$3</c:f>
              <c:numCache>
                <c:formatCode>0.00</c:formatCode>
                <c:ptCount val="4"/>
                <c:pt idx="0">
                  <c:v>15</c:v>
                </c:pt>
                <c:pt idx="1">
                  <c:v>18.329999999999998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E-428E-885F-798F19FA6427}"/>
            </c:ext>
          </c:extLst>
        </c:ser>
        <c:ser>
          <c:idx val="2"/>
          <c:order val="2"/>
          <c:tx>
            <c:strRef>
              <c:f>'Alimosho LGA'!$A$4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LGA'!$B$4:$E$4</c:f>
              <c:numCache>
                <c:formatCode>0.00</c:formatCode>
                <c:ptCount val="4"/>
                <c:pt idx="0">
                  <c:v>13.33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E-428E-885F-798F19FA6427}"/>
            </c:ext>
          </c:extLst>
        </c:ser>
        <c:ser>
          <c:idx val="3"/>
          <c:order val="3"/>
          <c:tx>
            <c:strRef>
              <c:f>'Alimosho LGA'!$A$5</c:f>
              <c:strCache>
                <c:ptCount val="1"/>
                <c:pt idx="0">
                  <c:v>CRS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LGA'!$B$5:$E$5</c:f>
              <c:numCache>
                <c:formatCode>0.00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E-428E-885F-798F19FA6427}"/>
            </c:ext>
          </c:extLst>
        </c:ser>
        <c:ser>
          <c:idx val="4"/>
          <c:order val="4"/>
          <c:tx>
            <c:strRef>
              <c:f>'Alimosho LGA'!$A$6</c:f>
              <c:strCache>
                <c:ptCount val="1"/>
                <c:pt idx="0">
                  <c:v>CTY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LGA'!$B$6:$E$6</c:f>
              <c:numCache>
                <c:formatCode>0.00</c:formatCode>
                <c:ptCount val="4"/>
                <c:pt idx="0">
                  <c:v>8.33</c:v>
                </c:pt>
                <c:pt idx="1">
                  <c:v>13.33</c:v>
                </c:pt>
                <c:pt idx="2">
                  <c:v>15</c:v>
                </c:pt>
                <c:pt idx="3">
                  <c:v>18.329999999999998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E-428E-885F-798F19FA6427}"/>
            </c:ext>
          </c:extLst>
        </c:ser>
        <c:ser>
          <c:idx val="5"/>
          <c:order val="5"/>
          <c:tx>
            <c:strRef>
              <c:f>'Alimosho LGA'!$A$7</c:f>
              <c:strCache>
                <c:ptCount val="1"/>
                <c:pt idx="0">
                  <c:v>GHW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LGA'!$B$7:$E$7</c:f>
              <c:numCache>
                <c:formatCode>0.00</c:formatCode>
                <c:ptCount val="4"/>
                <c:pt idx="0">
                  <c:v>11.67</c:v>
                </c:pt>
                <c:pt idx="1">
                  <c:v>17.670000000000002</c:v>
                </c:pt>
                <c:pt idx="2">
                  <c:v>20.67</c:v>
                </c:pt>
                <c:pt idx="3">
                  <c:v>23.33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CE-428E-885F-798F19FA6427}"/>
            </c:ext>
          </c:extLst>
        </c:ser>
        <c:ser>
          <c:idx val="6"/>
          <c:order val="6"/>
          <c:tx>
            <c:strRef>
              <c:f>'Alimosho LGA'!$A$8</c:f>
              <c:strCache>
                <c:ptCount val="1"/>
                <c:pt idx="0">
                  <c:v>IXA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LGA'!$B$8:$E$8</c:f>
              <c:numCache>
                <c:formatCode>0.00</c:formatCode>
                <c:ptCount val="4"/>
                <c:pt idx="0">
                  <c:v>8.33</c:v>
                </c:pt>
                <c:pt idx="1">
                  <c:v>13.33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CE-428E-885F-798F19FA6427}"/>
            </c:ext>
          </c:extLst>
        </c:ser>
        <c:ser>
          <c:idx val="7"/>
          <c:order val="7"/>
          <c:tx>
            <c:strRef>
              <c:f>'Alimosho LGA'!$A$9</c:f>
              <c:strCache>
                <c:ptCount val="1"/>
                <c:pt idx="0">
                  <c:v>JTP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LGA'!$B$9:$E$9</c:f>
              <c:numCache>
                <c:formatCode>0.00</c:formatCode>
                <c:ptCount val="4"/>
                <c:pt idx="0">
                  <c:v>5</c:v>
                </c:pt>
                <c:pt idx="1">
                  <c:v>8.33</c:v>
                </c:pt>
                <c:pt idx="2">
                  <c:v>16.670000000000002</c:v>
                </c:pt>
                <c:pt idx="3">
                  <c:v>18.329999999999998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CE-428E-885F-798F19FA6427}"/>
            </c:ext>
          </c:extLst>
        </c:ser>
        <c:ser>
          <c:idx val="8"/>
          <c:order val="8"/>
          <c:tx>
            <c:strRef>
              <c:f>'Alimosho LGA'!$A$10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LGA'!$B$10:$E$10</c:f>
              <c:numCache>
                <c:formatCode>0.00</c:formatCode>
                <c:ptCount val="4"/>
                <c:pt idx="0">
                  <c:v>3.33</c:v>
                </c:pt>
                <c:pt idx="1">
                  <c:v>1.67</c:v>
                </c:pt>
                <c:pt idx="2">
                  <c:v>3.33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CE-428E-885F-798F19FA6427}"/>
            </c:ext>
          </c:extLst>
        </c:ser>
        <c:ser>
          <c:idx val="9"/>
          <c:order val="9"/>
          <c:tx>
            <c:strRef>
              <c:f>'Alimosho LGA'!$A$11</c:f>
              <c:strCache>
                <c:ptCount val="1"/>
                <c:pt idx="0">
                  <c:v>ORG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LGA'!$B$11:$E$11</c:f>
              <c:numCache>
                <c:formatCode>0.00</c:formatCode>
                <c:ptCount val="4"/>
                <c:pt idx="0">
                  <c:v>1.67</c:v>
                </c:pt>
                <c:pt idx="1">
                  <c:v>10</c:v>
                </c:pt>
                <c:pt idx="2">
                  <c:v>10</c:v>
                </c:pt>
                <c:pt idx="3">
                  <c:v>13.33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CE-428E-885F-798F19FA6427}"/>
            </c:ext>
          </c:extLst>
        </c:ser>
        <c:ser>
          <c:idx val="10"/>
          <c:order val="10"/>
          <c:tx>
            <c:strRef>
              <c:f>'Alimosho LGA'!$A$12</c:f>
              <c:strCache>
                <c:ptCount val="1"/>
                <c:pt idx="0">
                  <c:v>PAW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LGA'!$B$12:$E$12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CE-428E-885F-798F19FA6427}"/>
            </c:ext>
          </c:extLst>
        </c:ser>
        <c:ser>
          <c:idx val="11"/>
          <c:order val="11"/>
          <c:tx>
            <c:strRef>
              <c:f>'Alimosho LGA'!$A$13</c:f>
              <c:strCache>
                <c:ptCount val="1"/>
                <c:pt idx="0">
                  <c:v>SBK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LGA'!$B$13:$E$13</c:f>
              <c:numCache>
                <c:formatCode>0.00</c:formatCode>
                <c:ptCount val="4"/>
                <c:pt idx="0">
                  <c:v>6.67</c:v>
                </c:pt>
                <c:pt idx="1">
                  <c:v>8.33</c:v>
                </c:pt>
                <c:pt idx="2">
                  <c:v>11.67</c:v>
                </c:pt>
                <c:pt idx="3">
                  <c:v>18.329999999999998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CE-428E-885F-798F19FA6427}"/>
            </c:ext>
          </c:extLst>
        </c:ser>
        <c:ser>
          <c:idx val="12"/>
          <c:order val="12"/>
          <c:tx>
            <c:strRef>
              <c:f>'Alimosho LGA'!$A$14</c:f>
              <c:strCache>
                <c:ptCount val="1"/>
                <c:pt idx="0">
                  <c:v>SPY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LGA'!$B$14:$E$14</c:f>
              <c:numCache>
                <c:formatCode>0.00</c:formatCode>
                <c:ptCount val="4"/>
                <c:pt idx="0">
                  <c:v>1.67</c:v>
                </c:pt>
                <c:pt idx="1">
                  <c:v>1.67</c:v>
                </c:pt>
                <c:pt idx="2">
                  <c:v>1.67</c:v>
                </c:pt>
                <c:pt idx="3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CE-428E-885F-798F19FA6427}"/>
            </c:ext>
          </c:extLst>
        </c:ser>
        <c:ser>
          <c:idx val="13"/>
          <c:order val="13"/>
          <c:tx>
            <c:strRef>
              <c:f>'Alimosho LGA'!$A$15</c:f>
              <c:strCache>
                <c:ptCount val="1"/>
                <c:pt idx="0">
                  <c:v>STA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LGA'!$B$15:$E$15</c:f>
              <c:numCache>
                <c:formatCode>0.00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CE-428E-885F-798F19FA6427}"/>
            </c:ext>
          </c:extLst>
        </c:ser>
        <c:ser>
          <c:idx val="14"/>
          <c:order val="14"/>
          <c:tx>
            <c:strRef>
              <c:f>'Alimosho LGA'!$A$16</c:f>
              <c:strCache>
                <c:ptCount val="1"/>
                <c:pt idx="0">
                  <c:v>TTP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LGA'!$B$16:$E$16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CE-428E-885F-798F19FA6427}"/>
            </c:ext>
          </c:extLst>
        </c:ser>
        <c:ser>
          <c:idx val="15"/>
          <c:order val="15"/>
          <c:tx>
            <c:strRef>
              <c:f>'Alimosho LGA'!$A$17</c:f>
              <c:strCache>
                <c:ptCount val="1"/>
                <c:pt idx="0">
                  <c:v>VRC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'Alimosho LGA'!$B$1:$E$1</c:f>
              <c:strCache>
                <c:ptCount val="4"/>
                <c:pt idx="0">
                  <c:v>Mortality @ 200 ppm</c:v>
                </c:pt>
                <c:pt idx="1">
                  <c:v>Mortality @ 400 ppm</c:v>
                </c:pt>
                <c:pt idx="2">
                  <c:v>Mortality @ 600 ppm</c:v>
                </c:pt>
                <c:pt idx="3">
                  <c:v>Mortality @ 800 ppm</c:v>
                </c:pt>
              </c:strCache>
            </c:strRef>
          </c:cat>
          <c:val>
            <c:numRef>
              <c:f>'Alimosho LGA'!$B$17:$E$17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CE-428E-885F-798F19FA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591648"/>
        <c:axId val="1312575424"/>
      </c:barChart>
      <c:catAx>
        <c:axId val="131259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75424"/>
        <c:crosses val="autoZero"/>
        <c:auto val="1"/>
        <c:lblAlgn val="ctr"/>
        <c:lblOffset val="100"/>
        <c:noMultiLvlLbl val="0"/>
      </c:catAx>
      <c:valAx>
        <c:axId val="13125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9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Alimosho: Mortality Response to Concentration (24 hours)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'Alimosho LGA'!$B$1</c:f>
              <c:strCache>
                <c:ptCount val="1"/>
                <c:pt idx="0">
                  <c:v>Mortality @ 200 ppm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'Alimosho LGA'!$A$2:$A$17</c:f>
              <c:strCache>
                <c:ptCount val="16"/>
                <c:pt idx="0">
                  <c:v>CAS</c:v>
                </c:pt>
                <c:pt idx="1">
                  <c:v>CLE</c:v>
                </c:pt>
                <c:pt idx="2">
                  <c:v>CNN</c:v>
                </c:pt>
                <c:pt idx="3">
                  <c:v>CRS</c:v>
                </c:pt>
                <c:pt idx="4">
                  <c:v>CTY</c:v>
                </c:pt>
                <c:pt idx="5">
                  <c:v>GHW</c:v>
                </c:pt>
                <c:pt idx="6">
                  <c:v>IXA</c:v>
                </c:pt>
                <c:pt idx="7">
                  <c:v>JTP</c:v>
                </c:pt>
                <c:pt idx="8">
                  <c:v>MIC</c:v>
                </c:pt>
                <c:pt idx="9">
                  <c:v>ORG</c:v>
                </c:pt>
                <c:pt idx="10">
                  <c:v>PAW</c:v>
                </c:pt>
                <c:pt idx="11">
                  <c:v>SBK</c:v>
                </c:pt>
                <c:pt idx="12">
                  <c:v>SPY</c:v>
                </c:pt>
                <c:pt idx="13">
                  <c:v>STA</c:v>
                </c:pt>
                <c:pt idx="14">
                  <c:v>TTP</c:v>
                </c:pt>
                <c:pt idx="15">
                  <c:v>VRC</c:v>
                </c:pt>
              </c:strCache>
            </c:strRef>
          </c:cat>
          <c:val>
            <c:numRef>
              <c:f>'Alimosho LGA'!$B$2:$B$17</c:f>
              <c:numCache>
                <c:formatCode>0.00</c:formatCode>
                <c:ptCount val="16"/>
                <c:pt idx="0">
                  <c:v>8.33</c:v>
                </c:pt>
                <c:pt idx="1">
                  <c:v>15</c:v>
                </c:pt>
                <c:pt idx="2">
                  <c:v>13.33</c:v>
                </c:pt>
                <c:pt idx="3">
                  <c:v>25</c:v>
                </c:pt>
                <c:pt idx="4">
                  <c:v>8.33</c:v>
                </c:pt>
                <c:pt idx="5">
                  <c:v>11.67</c:v>
                </c:pt>
                <c:pt idx="6">
                  <c:v>8.33</c:v>
                </c:pt>
                <c:pt idx="7">
                  <c:v>5</c:v>
                </c:pt>
                <c:pt idx="8">
                  <c:v>3.33</c:v>
                </c:pt>
                <c:pt idx="9">
                  <c:v>1.67</c:v>
                </c:pt>
                <c:pt idx="10">
                  <c:v>0</c:v>
                </c:pt>
                <c:pt idx="11">
                  <c:v>6.67</c:v>
                </c:pt>
                <c:pt idx="12">
                  <c:v>1.67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A-4530-9303-7B69F8046641}"/>
            </c:ext>
          </c:extLst>
        </c:ser>
        <c:ser>
          <c:idx val="1"/>
          <c:order val="1"/>
          <c:tx>
            <c:strRef>
              <c:f>'Alimosho LGA'!$C$1</c:f>
              <c:strCache>
                <c:ptCount val="1"/>
                <c:pt idx="0">
                  <c:v>Mortality @ 400 ppm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'Alimosho LGA'!$A$2:$A$17</c:f>
              <c:strCache>
                <c:ptCount val="16"/>
                <c:pt idx="0">
                  <c:v>CAS</c:v>
                </c:pt>
                <c:pt idx="1">
                  <c:v>CLE</c:v>
                </c:pt>
                <c:pt idx="2">
                  <c:v>CNN</c:v>
                </c:pt>
                <c:pt idx="3">
                  <c:v>CRS</c:v>
                </c:pt>
                <c:pt idx="4">
                  <c:v>CTY</c:v>
                </c:pt>
                <c:pt idx="5">
                  <c:v>GHW</c:v>
                </c:pt>
                <c:pt idx="6">
                  <c:v>IXA</c:v>
                </c:pt>
                <c:pt idx="7">
                  <c:v>JTP</c:v>
                </c:pt>
                <c:pt idx="8">
                  <c:v>MIC</c:v>
                </c:pt>
                <c:pt idx="9">
                  <c:v>ORG</c:v>
                </c:pt>
                <c:pt idx="10">
                  <c:v>PAW</c:v>
                </c:pt>
                <c:pt idx="11">
                  <c:v>SBK</c:v>
                </c:pt>
                <c:pt idx="12">
                  <c:v>SPY</c:v>
                </c:pt>
                <c:pt idx="13">
                  <c:v>STA</c:v>
                </c:pt>
                <c:pt idx="14">
                  <c:v>TTP</c:v>
                </c:pt>
                <c:pt idx="15">
                  <c:v>VRC</c:v>
                </c:pt>
              </c:strCache>
            </c:strRef>
          </c:cat>
          <c:val>
            <c:numRef>
              <c:f>'Alimosho LGA'!$C$2:$C$17</c:f>
              <c:numCache>
                <c:formatCode>0.00</c:formatCode>
                <c:ptCount val="16"/>
                <c:pt idx="0">
                  <c:v>9.33</c:v>
                </c:pt>
                <c:pt idx="1">
                  <c:v>18.329999999999998</c:v>
                </c:pt>
                <c:pt idx="2">
                  <c:v>20</c:v>
                </c:pt>
                <c:pt idx="3">
                  <c:v>25</c:v>
                </c:pt>
                <c:pt idx="4">
                  <c:v>13.33</c:v>
                </c:pt>
                <c:pt idx="5">
                  <c:v>17.670000000000002</c:v>
                </c:pt>
                <c:pt idx="6">
                  <c:v>13.33</c:v>
                </c:pt>
                <c:pt idx="7">
                  <c:v>8.33</c:v>
                </c:pt>
                <c:pt idx="8">
                  <c:v>1.67</c:v>
                </c:pt>
                <c:pt idx="9">
                  <c:v>10</c:v>
                </c:pt>
                <c:pt idx="10">
                  <c:v>0</c:v>
                </c:pt>
                <c:pt idx="11">
                  <c:v>8.33</c:v>
                </c:pt>
                <c:pt idx="12">
                  <c:v>1.67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A-4530-9303-7B69F8046641}"/>
            </c:ext>
          </c:extLst>
        </c:ser>
        <c:ser>
          <c:idx val="2"/>
          <c:order val="2"/>
          <c:tx>
            <c:strRef>
              <c:f>'Alimosho LGA'!$D$1</c:f>
              <c:strCache>
                <c:ptCount val="1"/>
                <c:pt idx="0">
                  <c:v>Mortality @ 600 ppm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'Alimosho LGA'!$A$2:$A$17</c:f>
              <c:strCache>
                <c:ptCount val="16"/>
                <c:pt idx="0">
                  <c:v>CAS</c:v>
                </c:pt>
                <c:pt idx="1">
                  <c:v>CLE</c:v>
                </c:pt>
                <c:pt idx="2">
                  <c:v>CNN</c:v>
                </c:pt>
                <c:pt idx="3">
                  <c:v>CRS</c:v>
                </c:pt>
                <c:pt idx="4">
                  <c:v>CTY</c:v>
                </c:pt>
                <c:pt idx="5">
                  <c:v>GHW</c:v>
                </c:pt>
                <c:pt idx="6">
                  <c:v>IXA</c:v>
                </c:pt>
                <c:pt idx="7">
                  <c:v>JTP</c:v>
                </c:pt>
                <c:pt idx="8">
                  <c:v>MIC</c:v>
                </c:pt>
                <c:pt idx="9">
                  <c:v>ORG</c:v>
                </c:pt>
                <c:pt idx="10">
                  <c:v>PAW</c:v>
                </c:pt>
                <c:pt idx="11">
                  <c:v>SBK</c:v>
                </c:pt>
                <c:pt idx="12">
                  <c:v>SPY</c:v>
                </c:pt>
                <c:pt idx="13">
                  <c:v>STA</c:v>
                </c:pt>
                <c:pt idx="14">
                  <c:v>TTP</c:v>
                </c:pt>
                <c:pt idx="15">
                  <c:v>VRC</c:v>
                </c:pt>
              </c:strCache>
            </c:strRef>
          </c:cat>
          <c:val>
            <c:numRef>
              <c:f>'Alimosho LGA'!$D$2:$D$17</c:f>
              <c:numCache>
                <c:formatCode>0.00</c:formatCode>
                <c:ptCount val="16"/>
                <c:pt idx="0">
                  <c:v>10</c:v>
                </c:pt>
                <c:pt idx="1">
                  <c:v>25</c:v>
                </c:pt>
                <c:pt idx="2">
                  <c:v>20</c:v>
                </c:pt>
                <c:pt idx="3">
                  <c:v>25</c:v>
                </c:pt>
                <c:pt idx="4">
                  <c:v>15</c:v>
                </c:pt>
                <c:pt idx="5">
                  <c:v>20.67</c:v>
                </c:pt>
                <c:pt idx="6">
                  <c:v>15</c:v>
                </c:pt>
                <c:pt idx="7">
                  <c:v>16.670000000000002</c:v>
                </c:pt>
                <c:pt idx="8">
                  <c:v>3.33</c:v>
                </c:pt>
                <c:pt idx="9">
                  <c:v>10</c:v>
                </c:pt>
                <c:pt idx="10">
                  <c:v>0</c:v>
                </c:pt>
                <c:pt idx="11">
                  <c:v>11.67</c:v>
                </c:pt>
                <c:pt idx="12">
                  <c:v>1.67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A-4530-9303-7B69F8046641}"/>
            </c:ext>
          </c:extLst>
        </c:ser>
        <c:ser>
          <c:idx val="3"/>
          <c:order val="3"/>
          <c:tx>
            <c:strRef>
              <c:f>'Alimosho LGA'!$E$1</c:f>
              <c:strCache>
                <c:ptCount val="1"/>
                <c:pt idx="0">
                  <c:v>Mortality @ 800 ppm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'Alimosho LGA'!$A$2:$A$17</c:f>
              <c:strCache>
                <c:ptCount val="16"/>
                <c:pt idx="0">
                  <c:v>CAS</c:v>
                </c:pt>
                <c:pt idx="1">
                  <c:v>CLE</c:v>
                </c:pt>
                <c:pt idx="2">
                  <c:v>CNN</c:v>
                </c:pt>
                <c:pt idx="3">
                  <c:v>CRS</c:v>
                </c:pt>
                <c:pt idx="4">
                  <c:v>CTY</c:v>
                </c:pt>
                <c:pt idx="5">
                  <c:v>GHW</c:v>
                </c:pt>
                <c:pt idx="6">
                  <c:v>IXA</c:v>
                </c:pt>
                <c:pt idx="7">
                  <c:v>JTP</c:v>
                </c:pt>
                <c:pt idx="8">
                  <c:v>MIC</c:v>
                </c:pt>
                <c:pt idx="9">
                  <c:v>ORG</c:v>
                </c:pt>
                <c:pt idx="10">
                  <c:v>PAW</c:v>
                </c:pt>
                <c:pt idx="11">
                  <c:v>SBK</c:v>
                </c:pt>
                <c:pt idx="12">
                  <c:v>SPY</c:v>
                </c:pt>
                <c:pt idx="13">
                  <c:v>STA</c:v>
                </c:pt>
                <c:pt idx="14">
                  <c:v>TTP</c:v>
                </c:pt>
                <c:pt idx="15">
                  <c:v>VRC</c:v>
                </c:pt>
              </c:strCache>
            </c:strRef>
          </c:cat>
          <c:val>
            <c:numRef>
              <c:f>'Alimosho LGA'!$E$2:$E$17</c:f>
              <c:numCache>
                <c:formatCode>0.00</c:formatCode>
                <c:ptCount val="16"/>
                <c:pt idx="0">
                  <c:v>11.67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18.329999999999998</c:v>
                </c:pt>
                <c:pt idx="5">
                  <c:v>23.33</c:v>
                </c:pt>
                <c:pt idx="6">
                  <c:v>20</c:v>
                </c:pt>
                <c:pt idx="7">
                  <c:v>18.329999999999998</c:v>
                </c:pt>
                <c:pt idx="8">
                  <c:v>5</c:v>
                </c:pt>
                <c:pt idx="9">
                  <c:v>13.33</c:v>
                </c:pt>
                <c:pt idx="10">
                  <c:v>1.67</c:v>
                </c:pt>
                <c:pt idx="11">
                  <c:v>18.329999999999998</c:v>
                </c:pt>
                <c:pt idx="12">
                  <c:v>3.33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9A-4530-9303-7B69F804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036432"/>
        <c:axId val="1284042672"/>
      </c:barChart>
      <c:catAx>
        <c:axId val="12840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42672"/>
        <c:crosses val="autoZero"/>
        <c:auto val="1"/>
        <c:lblAlgn val="ctr"/>
        <c:lblOffset val="100"/>
        <c:noMultiLvlLbl val="0"/>
      </c:catAx>
      <c:valAx>
        <c:axId val="12840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1101724</xdr:colOff>
      <xdr:row>22</xdr:row>
      <xdr:rowOff>190498</xdr:rowOff>
    </xdr:from>
    <xdr:to>
      <xdr:col>13</xdr:col>
      <xdr:colOff>523874</xdr:colOff>
      <xdr:row>54</xdr:row>
      <xdr:rowOff>63499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5758D0-09D3-4267-A0F0-B3AEC2AE1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59</xdr:row>
      <xdr:rowOff>190498</xdr:rowOff>
    </xdr:from>
    <xdr:to>
      <xdr:col>12</xdr:col>
      <xdr:colOff>484322</xdr:colOff>
      <xdr:row>90</xdr:row>
      <xdr:rowOff>177585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E44897-9B92-446A-B5B8-105284699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F01DC-78DE-4647-A197-1BD24F3CF9FB}" name="Table1" displayName="Table1" ref="A40:E76" totalsRowShown="0" headerRowDxfId="1">
  <autoFilter ref="A40:E76" xr:uid="{ECBF01DC-78DE-4647-A197-1BD24F3CF9FB}">
    <filterColumn colId="3">
      <filters>
        <filter val="24"/>
      </filters>
    </filterColumn>
  </autoFilter>
  <tableColumns count="5">
    <tableColumn id="1" xr3:uid="{6A55AF8A-9122-4CA1-A9C4-B9FBC266C48B}" name="Concentration"/>
    <tableColumn id="2" xr3:uid="{F52209C1-768B-4819-B026-37E50E60873B}" name="Replicate"/>
    <tableColumn id="3" xr3:uid="{9B4775E2-EEAB-40CD-A60E-5018B19C062B}" name="Mortality"/>
    <tableColumn id="4" xr3:uid="{4FECB0A4-1B58-4964-BAA9-F8C5A4F46854}" name="Time"/>
    <tableColumn id="5" xr3:uid="{C88938DF-35A9-44E9-8E23-CE13AF64561E}" name="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27C6D8-F12E-42A5-A140-431D02E7FF03}" name="Table2" displayName="Table2" ref="A79:E115" totalsRowShown="0" headerRowDxfId="0">
  <autoFilter ref="A79:E115" xr:uid="{2527C6D8-F12E-42A5-A140-431D02E7FF03}">
    <filterColumn colId="3">
      <filters>
        <filter val="24"/>
      </filters>
    </filterColumn>
  </autoFilter>
  <tableColumns count="5">
    <tableColumn id="1" xr3:uid="{EF95636D-CC02-4F76-B3B5-B2ACA4AA53C3}" name="Concentration"/>
    <tableColumn id="2" xr3:uid="{6B7B3497-F017-4DEE-B35E-8792E329F981}" name="Replicate"/>
    <tableColumn id="3" xr3:uid="{22FDEFA0-5083-47EF-AA65-2DA973D8C8F4}" name="Mortality"/>
    <tableColumn id="4" xr3:uid="{76155F54-5F3D-46AC-8952-F0E572F8B4DD}" name="Time"/>
    <tableColumn id="5" xr3:uid="{5ABB53A1-3D0B-49F8-BA14-DC137439B3AF}" name="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E205-8A9D-4B5A-B677-0C32CAE7F6E6}">
  <dimension ref="A1:L20"/>
  <sheetViews>
    <sheetView tabSelected="1" zoomScaleNormal="100" workbookViewId="0">
      <selection activeCell="D1" sqref="D1"/>
    </sheetView>
  </sheetViews>
  <sheetFormatPr defaultRowHeight="15" x14ac:dyDescent="0.25"/>
  <cols>
    <col min="1" max="1" width="16.5703125" bestFit="1" customWidth="1"/>
    <col min="2" max="5" width="21.85546875" bestFit="1" customWidth="1"/>
    <col min="8" max="8" width="22.85546875" bestFit="1" customWidth="1"/>
    <col min="9" max="9" width="24.5703125" bestFit="1" customWidth="1"/>
    <col min="10" max="10" width="12.5703125" bestFit="1" customWidth="1"/>
    <col min="12" max="12" width="18.7109375" bestFit="1" customWidth="1"/>
  </cols>
  <sheetData>
    <row r="1" spans="1:12" x14ac:dyDescent="0.25">
      <c r="A1" s="4" t="s">
        <v>20</v>
      </c>
      <c r="B1" s="4" t="s">
        <v>0</v>
      </c>
      <c r="C1" s="4" t="s">
        <v>1</v>
      </c>
      <c r="D1" s="4" t="s">
        <v>2</v>
      </c>
      <c r="E1" s="4" t="s">
        <v>3</v>
      </c>
    </row>
    <row r="2" spans="1:12" x14ac:dyDescent="0.25">
      <c r="A2" s="1" t="s">
        <v>4</v>
      </c>
      <c r="B2" s="2">
        <v>8.33</v>
      </c>
      <c r="C2" s="2">
        <v>9.33</v>
      </c>
      <c r="D2" s="2">
        <v>10</v>
      </c>
      <c r="E2" s="2">
        <v>11.67</v>
      </c>
    </row>
    <row r="3" spans="1:12" x14ac:dyDescent="0.25">
      <c r="A3" s="1" t="s">
        <v>5</v>
      </c>
      <c r="B3" s="2">
        <v>15</v>
      </c>
      <c r="C3" s="2">
        <v>18.329999999999998</v>
      </c>
      <c r="D3" s="2">
        <v>25</v>
      </c>
      <c r="E3" s="2">
        <v>25</v>
      </c>
      <c r="H3" s="4" t="s">
        <v>31</v>
      </c>
      <c r="I3" s="4" t="s">
        <v>32</v>
      </c>
      <c r="J3" s="4" t="s">
        <v>33</v>
      </c>
    </row>
    <row r="4" spans="1:12" x14ac:dyDescent="0.25">
      <c r="A4" s="1" t="s">
        <v>6</v>
      </c>
      <c r="B4" s="2">
        <v>13.33</v>
      </c>
      <c r="C4" s="2">
        <v>20</v>
      </c>
      <c r="D4" s="2">
        <v>20</v>
      </c>
      <c r="E4" s="2">
        <v>25</v>
      </c>
      <c r="H4" s="5" t="s">
        <v>34</v>
      </c>
      <c r="I4" t="s">
        <v>35</v>
      </c>
      <c r="J4" s="3" t="s">
        <v>17</v>
      </c>
    </row>
    <row r="5" spans="1:12" x14ac:dyDescent="0.25">
      <c r="A5" s="1" t="s">
        <v>7</v>
      </c>
      <c r="B5" s="2">
        <v>25</v>
      </c>
      <c r="C5" s="2">
        <v>25</v>
      </c>
      <c r="D5" s="2">
        <v>25</v>
      </c>
      <c r="E5" s="2">
        <v>25</v>
      </c>
      <c r="H5" s="5" t="s">
        <v>36</v>
      </c>
      <c r="I5" t="s">
        <v>37</v>
      </c>
      <c r="J5" s="3" t="s">
        <v>7</v>
      </c>
    </row>
    <row r="6" spans="1:12" x14ac:dyDescent="0.25">
      <c r="A6" s="1" t="s">
        <v>8</v>
      </c>
      <c r="B6" s="2">
        <v>8.33</v>
      </c>
      <c r="C6" s="2">
        <v>13.33</v>
      </c>
      <c r="D6" s="2">
        <v>15</v>
      </c>
      <c r="E6" s="2">
        <v>18.329999999999998</v>
      </c>
      <c r="H6" s="5" t="s">
        <v>38</v>
      </c>
      <c r="I6" t="s">
        <v>39</v>
      </c>
      <c r="J6" s="3" t="s">
        <v>5</v>
      </c>
    </row>
    <row r="7" spans="1:12" x14ac:dyDescent="0.25">
      <c r="A7" s="1" t="s">
        <v>9</v>
      </c>
      <c r="B7" s="2">
        <v>11.67</v>
      </c>
      <c r="C7" s="2">
        <v>17.670000000000002</v>
      </c>
      <c r="D7" s="2">
        <v>20.67</v>
      </c>
      <c r="E7" s="2">
        <v>23.33</v>
      </c>
      <c r="H7" s="5" t="s">
        <v>40</v>
      </c>
      <c r="I7" t="s">
        <v>41</v>
      </c>
      <c r="J7" s="3" t="s">
        <v>6</v>
      </c>
      <c r="L7" s="4" t="s">
        <v>67</v>
      </c>
    </row>
    <row r="8" spans="1:12" x14ac:dyDescent="0.25">
      <c r="A8" s="1" t="s">
        <v>10</v>
      </c>
      <c r="B8" s="2">
        <v>8.33</v>
      </c>
      <c r="C8" s="2">
        <v>13.33</v>
      </c>
      <c r="D8" s="2">
        <v>15</v>
      </c>
      <c r="E8" s="2">
        <v>20</v>
      </c>
      <c r="H8" s="5" t="s">
        <v>42</v>
      </c>
      <c r="I8" t="s">
        <v>43</v>
      </c>
      <c r="J8" s="3" t="s">
        <v>9</v>
      </c>
      <c r="L8" s="3" t="s">
        <v>68</v>
      </c>
    </row>
    <row r="9" spans="1:12" x14ac:dyDescent="0.25">
      <c r="A9" s="1" t="s">
        <v>11</v>
      </c>
      <c r="B9" s="2">
        <v>5</v>
      </c>
      <c r="C9" s="2">
        <v>8.33</v>
      </c>
      <c r="D9" s="2">
        <v>16.670000000000002</v>
      </c>
      <c r="E9" s="2">
        <v>18.329999999999998</v>
      </c>
      <c r="H9" s="5" t="s">
        <v>44</v>
      </c>
      <c r="I9" t="s">
        <v>45</v>
      </c>
      <c r="J9" s="3" t="s">
        <v>8</v>
      </c>
      <c r="L9" s="3" t="s">
        <v>69</v>
      </c>
    </row>
    <row r="10" spans="1:12" x14ac:dyDescent="0.25">
      <c r="A10" s="1" t="s">
        <v>12</v>
      </c>
      <c r="B10" s="2">
        <v>3.33</v>
      </c>
      <c r="C10" s="2">
        <v>1.67</v>
      </c>
      <c r="D10" s="2">
        <v>3.33</v>
      </c>
      <c r="E10" s="2">
        <v>5</v>
      </c>
      <c r="H10" s="5" t="s">
        <v>46</v>
      </c>
      <c r="I10" t="s">
        <v>47</v>
      </c>
      <c r="J10" s="3" t="s">
        <v>11</v>
      </c>
      <c r="L10" s="3" t="s">
        <v>70</v>
      </c>
    </row>
    <row r="11" spans="1:12" x14ac:dyDescent="0.25">
      <c r="A11" s="1" t="s">
        <v>13</v>
      </c>
      <c r="B11" s="2">
        <v>1.67</v>
      </c>
      <c r="C11" s="2">
        <v>10</v>
      </c>
      <c r="D11" s="2">
        <v>10</v>
      </c>
      <c r="E11" s="2">
        <v>13.33</v>
      </c>
      <c r="H11" s="5" t="s">
        <v>48</v>
      </c>
      <c r="I11" t="s">
        <v>49</v>
      </c>
      <c r="J11" s="3" t="s">
        <v>15</v>
      </c>
      <c r="L11" s="3" t="s">
        <v>71</v>
      </c>
    </row>
    <row r="12" spans="1:12" x14ac:dyDescent="0.25">
      <c r="A12" s="1" t="s">
        <v>14</v>
      </c>
      <c r="B12" s="2">
        <v>0</v>
      </c>
      <c r="C12" s="2">
        <v>0</v>
      </c>
      <c r="D12" s="2">
        <v>0</v>
      </c>
      <c r="E12" s="2">
        <v>1.67</v>
      </c>
      <c r="H12" s="5" t="s">
        <v>50</v>
      </c>
      <c r="I12" t="s">
        <v>51</v>
      </c>
      <c r="J12" s="3" t="s">
        <v>13</v>
      </c>
    </row>
    <row r="13" spans="1:12" x14ac:dyDescent="0.25">
      <c r="A13" s="1" t="s">
        <v>15</v>
      </c>
      <c r="B13" s="2">
        <v>6.67</v>
      </c>
      <c r="C13" s="2">
        <v>8.33</v>
      </c>
      <c r="D13" s="2">
        <v>11.67</v>
      </c>
      <c r="E13" s="2">
        <v>18.329999999999998</v>
      </c>
      <c r="H13" s="5" t="s">
        <v>52</v>
      </c>
      <c r="I13" t="s">
        <v>75</v>
      </c>
      <c r="J13" s="3" t="s">
        <v>10</v>
      </c>
    </row>
    <row r="14" spans="1:12" x14ac:dyDescent="0.25">
      <c r="A14" s="1" t="s">
        <v>16</v>
      </c>
      <c r="B14" s="2">
        <v>1.67</v>
      </c>
      <c r="C14" s="2">
        <v>1.67</v>
      </c>
      <c r="D14" s="2">
        <v>1.67</v>
      </c>
      <c r="E14" s="2">
        <v>3.33</v>
      </c>
      <c r="H14" s="5" t="s">
        <v>53</v>
      </c>
      <c r="I14" t="s">
        <v>54</v>
      </c>
      <c r="J14" s="3" t="s">
        <v>4</v>
      </c>
    </row>
    <row r="15" spans="1:12" x14ac:dyDescent="0.25">
      <c r="A15" s="1" t="s">
        <v>17</v>
      </c>
      <c r="B15" s="2">
        <v>25</v>
      </c>
      <c r="C15" s="2">
        <v>25</v>
      </c>
      <c r="D15" s="2">
        <v>25</v>
      </c>
      <c r="E15" s="2">
        <v>25</v>
      </c>
      <c r="H15" s="5" t="s">
        <v>55</v>
      </c>
      <c r="I15" t="s">
        <v>56</v>
      </c>
      <c r="J15" s="3" t="s">
        <v>57</v>
      </c>
    </row>
    <row r="16" spans="1:12" x14ac:dyDescent="0.25">
      <c r="A16" s="1" t="s">
        <v>18</v>
      </c>
      <c r="B16" s="2">
        <v>0</v>
      </c>
      <c r="C16" s="2">
        <v>0</v>
      </c>
      <c r="D16" s="2">
        <v>0</v>
      </c>
      <c r="E16" s="2">
        <v>0</v>
      </c>
      <c r="H16" s="5" t="s">
        <v>58</v>
      </c>
      <c r="I16" t="s">
        <v>59</v>
      </c>
      <c r="J16" s="3" t="s">
        <v>19</v>
      </c>
    </row>
    <row r="17" spans="1:10" x14ac:dyDescent="0.25">
      <c r="A17" s="1" t="s">
        <v>19</v>
      </c>
      <c r="B17" s="2">
        <v>0</v>
      </c>
      <c r="C17" s="2">
        <v>0</v>
      </c>
      <c r="D17" s="2">
        <v>0</v>
      </c>
      <c r="E17" s="2">
        <v>0</v>
      </c>
      <c r="H17" s="5" t="s">
        <v>60</v>
      </c>
      <c r="I17" t="s">
        <v>61</v>
      </c>
      <c r="J17" s="3" t="s">
        <v>14</v>
      </c>
    </row>
    <row r="18" spans="1:10" x14ac:dyDescent="0.25">
      <c r="H18" s="5" t="s">
        <v>62</v>
      </c>
      <c r="I18" t="s">
        <v>63</v>
      </c>
      <c r="J18" s="3" t="s">
        <v>12</v>
      </c>
    </row>
    <row r="19" spans="1:10" x14ac:dyDescent="0.25">
      <c r="H19" s="5" t="s">
        <v>64</v>
      </c>
      <c r="I19" t="s">
        <v>65</v>
      </c>
      <c r="J19" s="3" t="s">
        <v>16</v>
      </c>
    </row>
    <row r="20" spans="1:10" x14ac:dyDescent="0.25">
      <c r="H20" s="5" t="s">
        <v>66</v>
      </c>
      <c r="I20" t="s">
        <v>27</v>
      </c>
      <c r="J20" s="3" t="s">
        <v>18</v>
      </c>
    </row>
  </sheetData>
  <autoFilter ref="A1:E17" xr:uid="{D4E6E205-8A9D-4B5A-B677-0C32CAE7F6E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39FF-C578-4BD4-8F15-7A0F5C2E6A2D}">
  <sheetPr filterMode="1"/>
  <dimension ref="A1:H115"/>
  <sheetViews>
    <sheetView topLeftCell="A46" workbookViewId="0">
      <selection activeCell="I11" sqref="I11"/>
    </sheetView>
  </sheetViews>
  <sheetFormatPr defaultRowHeight="15" x14ac:dyDescent="0.25"/>
  <cols>
    <col min="1" max="1" width="16" bestFit="1" customWidth="1"/>
    <col min="2" max="3" width="11.5703125" bestFit="1" customWidth="1"/>
    <col min="4" max="4" width="7.7109375" bestFit="1" customWidth="1"/>
    <col min="5" max="5" width="39.7109375" bestFit="1" customWidth="1"/>
    <col min="7" max="7" width="14.140625" bestFit="1" customWidth="1"/>
    <col min="8" max="8" width="17.28515625" bestFit="1" customWidth="1"/>
  </cols>
  <sheetData>
    <row r="1" spans="1:8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spans="1:8" x14ac:dyDescent="0.25">
      <c r="A2">
        <v>200</v>
      </c>
      <c r="B2" t="s">
        <v>26</v>
      </c>
      <c r="C2">
        <v>0</v>
      </c>
      <c r="D2">
        <v>24</v>
      </c>
      <c r="E2" s="5" t="s">
        <v>72</v>
      </c>
    </row>
    <row r="3" spans="1:8" x14ac:dyDescent="0.25">
      <c r="A3">
        <v>200</v>
      </c>
      <c r="B3" t="s">
        <v>28</v>
      </c>
      <c r="C3">
        <v>0</v>
      </c>
      <c r="D3">
        <v>24</v>
      </c>
      <c r="G3" s="4" t="s">
        <v>73</v>
      </c>
      <c r="H3" s="4" t="s">
        <v>74</v>
      </c>
    </row>
    <row r="4" spans="1:8" x14ac:dyDescent="0.25">
      <c r="A4">
        <v>200</v>
      </c>
      <c r="B4" t="s">
        <v>29</v>
      </c>
      <c r="C4">
        <v>0</v>
      </c>
      <c r="D4">
        <v>24</v>
      </c>
      <c r="G4">
        <v>200</v>
      </c>
      <c r="H4" s="6">
        <f>AVERAGE(C2:C4)</f>
        <v>0</v>
      </c>
    </row>
    <row r="5" spans="1:8" x14ac:dyDescent="0.25">
      <c r="A5">
        <v>400</v>
      </c>
      <c r="B5" t="s">
        <v>26</v>
      </c>
      <c r="C5">
        <v>0</v>
      </c>
      <c r="D5">
        <v>24</v>
      </c>
      <c r="G5">
        <v>400</v>
      </c>
      <c r="H5" s="6">
        <f>AVERAGE(C5:C7)</f>
        <v>0</v>
      </c>
    </row>
    <row r="6" spans="1:8" x14ac:dyDescent="0.25">
      <c r="A6">
        <v>400</v>
      </c>
      <c r="B6" t="s">
        <v>28</v>
      </c>
      <c r="C6">
        <v>0</v>
      </c>
      <c r="D6">
        <v>24</v>
      </c>
      <c r="G6">
        <v>600</v>
      </c>
      <c r="H6" s="6">
        <f>AVERAGE(C8:C10)</f>
        <v>0</v>
      </c>
    </row>
    <row r="7" spans="1:8" x14ac:dyDescent="0.25">
      <c r="A7">
        <v>400</v>
      </c>
      <c r="B7" t="s">
        <v>29</v>
      </c>
      <c r="C7">
        <v>0</v>
      </c>
      <c r="D7">
        <v>24</v>
      </c>
      <c r="G7">
        <v>800</v>
      </c>
      <c r="H7" s="6">
        <f>AVERAGE(C11:C13)</f>
        <v>0</v>
      </c>
    </row>
    <row r="8" spans="1:8" x14ac:dyDescent="0.25">
      <c r="A8">
        <v>600</v>
      </c>
      <c r="B8" t="s">
        <v>26</v>
      </c>
      <c r="C8">
        <v>0</v>
      </c>
      <c r="D8">
        <v>24</v>
      </c>
    </row>
    <row r="9" spans="1:8" x14ac:dyDescent="0.25">
      <c r="A9">
        <v>600</v>
      </c>
      <c r="B9" t="s">
        <v>28</v>
      </c>
      <c r="C9">
        <v>0</v>
      </c>
      <c r="D9">
        <v>24</v>
      </c>
    </row>
    <row r="10" spans="1:8" x14ac:dyDescent="0.25">
      <c r="A10">
        <v>600</v>
      </c>
      <c r="B10" t="s">
        <v>29</v>
      </c>
      <c r="C10">
        <v>0</v>
      </c>
      <c r="D10">
        <v>24</v>
      </c>
    </row>
    <row r="11" spans="1:8" x14ac:dyDescent="0.25">
      <c r="A11">
        <v>800</v>
      </c>
      <c r="B11" t="s">
        <v>26</v>
      </c>
      <c r="C11">
        <v>0</v>
      </c>
      <c r="D11">
        <v>24</v>
      </c>
    </row>
    <row r="12" spans="1:8" x14ac:dyDescent="0.25">
      <c r="A12">
        <v>800</v>
      </c>
      <c r="B12" t="s">
        <v>29</v>
      </c>
      <c r="C12">
        <v>0</v>
      </c>
      <c r="D12">
        <v>24</v>
      </c>
    </row>
    <row r="13" spans="1:8" x14ac:dyDescent="0.25">
      <c r="A13">
        <v>800</v>
      </c>
      <c r="B13" t="s">
        <v>30</v>
      </c>
      <c r="C13">
        <v>0</v>
      </c>
      <c r="D13">
        <v>24</v>
      </c>
    </row>
    <row r="14" spans="1:8" hidden="1" x14ac:dyDescent="0.25">
      <c r="A14">
        <v>200</v>
      </c>
      <c r="B14" t="s">
        <v>26</v>
      </c>
      <c r="C14">
        <v>0</v>
      </c>
      <c r="D14">
        <v>48</v>
      </c>
    </row>
    <row r="15" spans="1:8" hidden="1" x14ac:dyDescent="0.25">
      <c r="A15">
        <v>200</v>
      </c>
      <c r="B15" t="s">
        <v>28</v>
      </c>
      <c r="C15">
        <v>0</v>
      </c>
      <c r="D15">
        <v>48</v>
      </c>
    </row>
    <row r="16" spans="1:8" hidden="1" x14ac:dyDescent="0.25">
      <c r="A16">
        <v>200</v>
      </c>
      <c r="B16" t="s">
        <v>29</v>
      </c>
      <c r="C16">
        <v>0</v>
      </c>
      <c r="D16">
        <v>48</v>
      </c>
    </row>
    <row r="17" spans="1:4" hidden="1" x14ac:dyDescent="0.25">
      <c r="A17">
        <v>400</v>
      </c>
      <c r="B17" t="s">
        <v>26</v>
      </c>
      <c r="C17">
        <v>2</v>
      </c>
      <c r="D17">
        <v>48</v>
      </c>
    </row>
    <row r="18" spans="1:4" hidden="1" x14ac:dyDescent="0.25">
      <c r="A18">
        <v>400</v>
      </c>
      <c r="B18" t="s">
        <v>28</v>
      </c>
      <c r="C18">
        <v>0</v>
      </c>
      <c r="D18">
        <v>48</v>
      </c>
    </row>
    <row r="19" spans="1:4" hidden="1" x14ac:dyDescent="0.25">
      <c r="A19">
        <v>400</v>
      </c>
      <c r="B19" t="s">
        <v>29</v>
      </c>
      <c r="C19">
        <v>5</v>
      </c>
      <c r="D19">
        <v>48</v>
      </c>
    </row>
    <row r="20" spans="1:4" hidden="1" x14ac:dyDescent="0.25">
      <c r="A20">
        <v>600</v>
      </c>
      <c r="B20" t="s">
        <v>26</v>
      </c>
      <c r="C20">
        <v>5</v>
      </c>
      <c r="D20">
        <v>48</v>
      </c>
    </row>
    <row r="21" spans="1:4" hidden="1" x14ac:dyDescent="0.25">
      <c r="A21">
        <v>600</v>
      </c>
      <c r="B21" t="s">
        <v>28</v>
      </c>
      <c r="C21">
        <v>0</v>
      </c>
      <c r="D21">
        <v>48</v>
      </c>
    </row>
    <row r="22" spans="1:4" hidden="1" x14ac:dyDescent="0.25">
      <c r="A22">
        <v>600</v>
      </c>
      <c r="B22" t="s">
        <v>29</v>
      </c>
      <c r="C22">
        <v>5</v>
      </c>
      <c r="D22">
        <v>48</v>
      </c>
    </row>
    <row r="23" spans="1:4" hidden="1" x14ac:dyDescent="0.25">
      <c r="A23">
        <v>800</v>
      </c>
      <c r="B23" t="s">
        <v>26</v>
      </c>
      <c r="C23">
        <v>5</v>
      </c>
      <c r="D23">
        <v>48</v>
      </c>
    </row>
    <row r="24" spans="1:4" hidden="1" x14ac:dyDescent="0.25">
      <c r="A24">
        <v>800</v>
      </c>
      <c r="B24" t="s">
        <v>29</v>
      </c>
      <c r="C24">
        <v>5</v>
      </c>
      <c r="D24">
        <v>48</v>
      </c>
    </row>
    <row r="25" spans="1:4" hidden="1" x14ac:dyDescent="0.25">
      <c r="A25">
        <v>800</v>
      </c>
      <c r="B25" t="s">
        <v>30</v>
      </c>
      <c r="C25">
        <v>8</v>
      </c>
      <c r="D25">
        <v>48</v>
      </c>
    </row>
    <row r="26" spans="1:4" hidden="1" x14ac:dyDescent="0.25">
      <c r="A26">
        <v>200</v>
      </c>
      <c r="B26" t="s">
        <v>26</v>
      </c>
      <c r="C26">
        <v>0</v>
      </c>
      <c r="D26">
        <v>72</v>
      </c>
    </row>
    <row r="27" spans="1:4" hidden="1" x14ac:dyDescent="0.25">
      <c r="A27">
        <v>200</v>
      </c>
      <c r="B27" t="s">
        <v>28</v>
      </c>
      <c r="C27">
        <v>0</v>
      </c>
      <c r="D27">
        <v>72</v>
      </c>
    </row>
    <row r="28" spans="1:4" hidden="1" x14ac:dyDescent="0.25">
      <c r="A28">
        <v>200</v>
      </c>
      <c r="B28" t="s">
        <v>29</v>
      </c>
      <c r="C28">
        <v>5</v>
      </c>
      <c r="D28">
        <v>72</v>
      </c>
    </row>
    <row r="29" spans="1:4" hidden="1" x14ac:dyDescent="0.25">
      <c r="A29">
        <v>400</v>
      </c>
      <c r="B29" t="s">
        <v>26</v>
      </c>
      <c r="C29">
        <v>5</v>
      </c>
      <c r="D29">
        <v>72</v>
      </c>
    </row>
    <row r="30" spans="1:4" hidden="1" x14ac:dyDescent="0.25">
      <c r="A30">
        <v>400</v>
      </c>
      <c r="B30" t="s">
        <v>28</v>
      </c>
      <c r="C30">
        <v>3</v>
      </c>
      <c r="D30">
        <v>72</v>
      </c>
    </row>
    <row r="31" spans="1:4" hidden="1" x14ac:dyDescent="0.25">
      <c r="A31">
        <v>400</v>
      </c>
      <c r="B31" t="s">
        <v>29</v>
      </c>
      <c r="C31">
        <v>5</v>
      </c>
      <c r="D31">
        <v>72</v>
      </c>
    </row>
    <row r="32" spans="1:4" hidden="1" x14ac:dyDescent="0.25">
      <c r="A32">
        <v>600</v>
      </c>
      <c r="B32" t="s">
        <v>26</v>
      </c>
      <c r="C32">
        <v>5</v>
      </c>
      <c r="D32">
        <v>72</v>
      </c>
    </row>
    <row r="33" spans="1:8" hidden="1" x14ac:dyDescent="0.25">
      <c r="A33">
        <v>600</v>
      </c>
      <c r="B33" t="s">
        <v>28</v>
      </c>
      <c r="C33">
        <v>10</v>
      </c>
      <c r="D33">
        <v>72</v>
      </c>
    </row>
    <row r="34" spans="1:8" hidden="1" x14ac:dyDescent="0.25">
      <c r="A34">
        <v>600</v>
      </c>
      <c r="B34" t="s">
        <v>29</v>
      </c>
      <c r="C34">
        <v>5</v>
      </c>
      <c r="D34">
        <v>72</v>
      </c>
    </row>
    <row r="35" spans="1:8" hidden="1" x14ac:dyDescent="0.25">
      <c r="A35">
        <v>800</v>
      </c>
      <c r="B35" t="s">
        <v>26</v>
      </c>
      <c r="C35">
        <v>5</v>
      </c>
      <c r="D35">
        <v>72</v>
      </c>
    </row>
    <row r="36" spans="1:8" hidden="1" x14ac:dyDescent="0.25">
      <c r="A36">
        <v>800</v>
      </c>
      <c r="B36" t="s">
        <v>29</v>
      </c>
      <c r="C36">
        <v>10</v>
      </c>
      <c r="D36">
        <v>72</v>
      </c>
    </row>
    <row r="37" spans="1:8" hidden="1" x14ac:dyDescent="0.25">
      <c r="A37">
        <v>800</v>
      </c>
      <c r="B37" t="s">
        <v>30</v>
      </c>
      <c r="C37">
        <v>10</v>
      </c>
      <c r="D37">
        <v>72</v>
      </c>
    </row>
    <row r="40" spans="1:8" x14ac:dyDescent="0.25">
      <c r="A40" s="4" t="s">
        <v>21</v>
      </c>
      <c r="B40" s="4" t="s">
        <v>22</v>
      </c>
      <c r="C40" s="4" t="s">
        <v>23</v>
      </c>
      <c r="D40" s="4" t="s">
        <v>24</v>
      </c>
      <c r="E40" s="4" t="s">
        <v>25</v>
      </c>
    </row>
    <row r="41" spans="1:8" x14ac:dyDescent="0.25">
      <c r="A41">
        <v>200</v>
      </c>
      <c r="B41" t="s">
        <v>26</v>
      </c>
      <c r="C41">
        <v>25</v>
      </c>
      <c r="D41">
        <v>24</v>
      </c>
      <c r="E41" s="5" t="s">
        <v>76</v>
      </c>
    </row>
    <row r="42" spans="1:8" x14ac:dyDescent="0.25">
      <c r="A42">
        <v>200</v>
      </c>
      <c r="B42" t="s">
        <v>28</v>
      </c>
      <c r="C42">
        <v>25</v>
      </c>
      <c r="D42">
        <v>24</v>
      </c>
      <c r="G42" s="4" t="s">
        <v>73</v>
      </c>
      <c r="H42" s="4" t="s">
        <v>74</v>
      </c>
    </row>
    <row r="43" spans="1:8" x14ac:dyDescent="0.25">
      <c r="A43">
        <v>200</v>
      </c>
      <c r="B43" t="s">
        <v>29</v>
      </c>
      <c r="C43">
        <v>25</v>
      </c>
      <c r="D43">
        <v>24</v>
      </c>
      <c r="G43">
        <v>200</v>
      </c>
      <c r="H43" s="6">
        <f>AVERAGE(C41:C43)</f>
        <v>25</v>
      </c>
    </row>
    <row r="44" spans="1:8" x14ac:dyDescent="0.25">
      <c r="A44">
        <v>400</v>
      </c>
      <c r="B44" t="s">
        <v>26</v>
      </c>
      <c r="C44">
        <v>25</v>
      </c>
      <c r="D44">
        <v>24</v>
      </c>
      <c r="G44">
        <v>400</v>
      </c>
      <c r="H44" s="6">
        <f>AVERAGE(C44:C46)</f>
        <v>25</v>
      </c>
    </row>
    <row r="45" spans="1:8" x14ac:dyDescent="0.25">
      <c r="A45">
        <v>400</v>
      </c>
      <c r="B45" t="s">
        <v>28</v>
      </c>
      <c r="C45">
        <v>25</v>
      </c>
      <c r="D45">
        <v>24</v>
      </c>
      <c r="G45">
        <v>600</v>
      </c>
      <c r="H45" s="6">
        <f>AVERAGE(C47:C49)</f>
        <v>25</v>
      </c>
    </row>
    <row r="46" spans="1:8" x14ac:dyDescent="0.25">
      <c r="A46">
        <v>400</v>
      </c>
      <c r="B46" t="s">
        <v>29</v>
      </c>
      <c r="C46">
        <v>25</v>
      </c>
      <c r="D46">
        <v>24</v>
      </c>
      <c r="G46">
        <v>800</v>
      </c>
      <c r="H46" s="6">
        <f>AVERAGE(C50:C52)</f>
        <v>25</v>
      </c>
    </row>
    <row r="47" spans="1:8" x14ac:dyDescent="0.25">
      <c r="A47">
        <v>600</v>
      </c>
      <c r="B47" t="s">
        <v>26</v>
      </c>
      <c r="C47">
        <v>25</v>
      </c>
      <c r="D47">
        <v>24</v>
      </c>
    </row>
    <row r="48" spans="1:8" x14ac:dyDescent="0.25">
      <c r="A48">
        <v>600</v>
      </c>
      <c r="B48" t="s">
        <v>28</v>
      </c>
      <c r="C48">
        <v>25</v>
      </c>
      <c r="D48">
        <v>24</v>
      </c>
    </row>
    <row r="49" spans="1:4" x14ac:dyDescent="0.25">
      <c r="A49">
        <v>600</v>
      </c>
      <c r="B49" t="s">
        <v>29</v>
      </c>
      <c r="C49">
        <v>25</v>
      </c>
      <c r="D49">
        <v>24</v>
      </c>
    </row>
    <row r="50" spans="1:4" x14ac:dyDescent="0.25">
      <c r="A50">
        <v>800</v>
      </c>
      <c r="B50" t="s">
        <v>26</v>
      </c>
      <c r="C50">
        <v>25</v>
      </c>
      <c r="D50">
        <v>24</v>
      </c>
    </row>
    <row r="51" spans="1:4" x14ac:dyDescent="0.25">
      <c r="A51">
        <v>800</v>
      </c>
      <c r="B51" t="s">
        <v>29</v>
      </c>
      <c r="C51">
        <v>25</v>
      </c>
      <c r="D51">
        <v>24</v>
      </c>
    </row>
    <row r="52" spans="1:4" x14ac:dyDescent="0.25">
      <c r="A52">
        <v>800</v>
      </c>
      <c r="B52" t="s">
        <v>30</v>
      </c>
      <c r="C52">
        <v>25</v>
      </c>
      <c r="D52">
        <v>24</v>
      </c>
    </row>
    <row r="53" spans="1:4" hidden="1" x14ac:dyDescent="0.25">
      <c r="A53">
        <v>200</v>
      </c>
      <c r="B53" t="s">
        <v>26</v>
      </c>
      <c r="C53">
        <v>25</v>
      </c>
      <c r="D53">
        <v>48</v>
      </c>
    </row>
    <row r="54" spans="1:4" hidden="1" x14ac:dyDescent="0.25">
      <c r="A54">
        <v>200</v>
      </c>
      <c r="B54" t="s">
        <v>28</v>
      </c>
      <c r="C54">
        <v>25</v>
      </c>
      <c r="D54">
        <v>48</v>
      </c>
    </row>
    <row r="55" spans="1:4" hidden="1" x14ac:dyDescent="0.25">
      <c r="A55">
        <v>200</v>
      </c>
      <c r="B55" t="s">
        <v>29</v>
      </c>
      <c r="C55">
        <v>25</v>
      </c>
      <c r="D55">
        <v>48</v>
      </c>
    </row>
    <row r="56" spans="1:4" hidden="1" x14ac:dyDescent="0.25">
      <c r="A56">
        <v>400</v>
      </c>
      <c r="B56" t="s">
        <v>26</v>
      </c>
      <c r="C56">
        <v>25</v>
      </c>
      <c r="D56">
        <v>48</v>
      </c>
    </row>
    <row r="57" spans="1:4" hidden="1" x14ac:dyDescent="0.25">
      <c r="A57">
        <v>400</v>
      </c>
      <c r="B57" t="s">
        <v>28</v>
      </c>
      <c r="C57">
        <v>25</v>
      </c>
      <c r="D57">
        <v>48</v>
      </c>
    </row>
    <row r="58" spans="1:4" hidden="1" x14ac:dyDescent="0.25">
      <c r="A58">
        <v>400</v>
      </c>
      <c r="B58" t="s">
        <v>29</v>
      </c>
      <c r="C58">
        <v>25</v>
      </c>
      <c r="D58">
        <v>48</v>
      </c>
    </row>
    <row r="59" spans="1:4" hidden="1" x14ac:dyDescent="0.25">
      <c r="A59">
        <v>600</v>
      </c>
      <c r="B59" t="s">
        <v>26</v>
      </c>
      <c r="C59">
        <v>25</v>
      </c>
      <c r="D59">
        <v>48</v>
      </c>
    </row>
    <row r="60" spans="1:4" hidden="1" x14ac:dyDescent="0.25">
      <c r="A60">
        <v>600</v>
      </c>
      <c r="B60" t="s">
        <v>28</v>
      </c>
      <c r="C60">
        <v>25</v>
      </c>
      <c r="D60">
        <v>48</v>
      </c>
    </row>
    <row r="61" spans="1:4" hidden="1" x14ac:dyDescent="0.25">
      <c r="A61">
        <v>600</v>
      </c>
      <c r="B61" t="s">
        <v>29</v>
      </c>
      <c r="C61">
        <v>25</v>
      </c>
      <c r="D61">
        <v>48</v>
      </c>
    </row>
    <row r="62" spans="1:4" hidden="1" x14ac:dyDescent="0.25">
      <c r="A62">
        <v>800</v>
      </c>
      <c r="B62" t="s">
        <v>26</v>
      </c>
      <c r="C62">
        <v>25</v>
      </c>
      <c r="D62">
        <v>48</v>
      </c>
    </row>
    <row r="63" spans="1:4" hidden="1" x14ac:dyDescent="0.25">
      <c r="A63">
        <v>800</v>
      </c>
      <c r="B63" t="s">
        <v>29</v>
      </c>
      <c r="C63">
        <v>25</v>
      </c>
      <c r="D63">
        <v>48</v>
      </c>
    </row>
    <row r="64" spans="1:4" hidden="1" x14ac:dyDescent="0.25">
      <c r="A64">
        <v>800</v>
      </c>
      <c r="B64" t="s">
        <v>30</v>
      </c>
      <c r="C64">
        <v>25</v>
      </c>
      <c r="D64">
        <v>48</v>
      </c>
    </row>
    <row r="65" spans="1:5" hidden="1" x14ac:dyDescent="0.25">
      <c r="A65">
        <v>200</v>
      </c>
      <c r="B65" t="s">
        <v>26</v>
      </c>
      <c r="C65">
        <v>25</v>
      </c>
      <c r="D65">
        <v>72</v>
      </c>
    </row>
    <row r="66" spans="1:5" hidden="1" x14ac:dyDescent="0.25">
      <c r="A66">
        <v>200</v>
      </c>
      <c r="B66" t="s">
        <v>28</v>
      </c>
      <c r="C66">
        <v>25</v>
      </c>
      <c r="D66">
        <v>72</v>
      </c>
    </row>
    <row r="67" spans="1:5" hidden="1" x14ac:dyDescent="0.25">
      <c r="A67">
        <v>200</v>
      </c>
      <c r="B67" t="s">
        <v>29</v>
      </c>
      <c r="C67">
        <v>25</v>
      </c>
      <c r="D67">
        <v>72</v>
      </c>
    </row>
    <row r="68" spans="1:5" hidden="1" x14ac:dyDescent="0.25">
      <c r="A68">
        <v>400</v>
      </c>
      <c r="B68" t="s">
        <v>26</v>
      </c>
      <c r="C68">
        <v>25</v>
      </c>
      <c r="D68">
        <v>72</v>
      </c>
    </row>
    <row r="69" spans="1:5" hidden="1" x14ac:dyDescent="0.25">
      <c r="A69">
        <v>400</v>
      </c>
      <c r="B69" t="s">
        <v>28</v>
      </c>
      <c r="C69">
        <v>25</v>
      </c>
      <c r="D69">
        <v>72</v>
      </c>
    </row>
    <row r="70" spans="1:5" hidden="1" x14ac:dyDescent="0.25">
      <c r="A70">
        <v>400</v>
      </c>
      <c r="B70" t="s">
        <v>29</v>
      </c>
      <c r="C70">
        <v>25</v>
      </c>
      <c r="D70">
        <v>72</v>
      </c>
    </row>
    <row r="71" spans="1:5" hidden="1" x14ac:dyDescent="0.25">
      <c r="A71">
        <v>600</v>
      </c>
      <c r="B71" t="s">
        <v>26</v>
      </c>
      <c r="C71">
        <v>25</v>
      </c>
      <c r="D71">
        <v>72</v>
      </c>
    </row>
    <row r="72" spans="1:5" hidden="1" x14ac:dyDescent="0.25">
      <c r="A72">
        <v>600</v>
      </c>
      <c r="B72" t="s">
        <v>28</v>
      </c>
      <c r="C72">
        <v>25</v>
      </c>
      <c r="D72">
        <v>72</v>
      </c>
    </row>
    <row r="73" spans="1:5" hidden="1" x14ac:dyDescent="0.25">
      <c r="A73">
        <v>600</v>
      </c>
      <c r="B73" t="s">
        <v>29</v>
      </c>
      <c r="C73">
        <v>25</v>
      </c>
      <c r="D73">
        <v>72</v>
      </c>
    </row>
    <row r="74" spans="1:5" hidden="1" x14ac:dyDescent="0.25">
      <c r="A74">
        <v>800</v>
      </c>
      <c r="B74" t="s">
        <v>26</v>
      </c>
      <c r="C74">
        <v>25</v>
      </c>
      <c r="D74">
        <v>72</v>
      </c>
    </row>
    <row r="75" spans="1:5" hidden="1" x14ac:dyDescent="0.25">
      <c r="A75">
        <v>800</v>
      </c>
      <c r="B75" t="s">
        <v>28</v>
      </c>
      <c r="C75">
        <v>25</v>
      </c>
      <c r="D75">
        <v>72</v>
      </c>
    </row>
    <row r="76" spans="1:5" hidden="1" x14ac:dyDescent="0.25">
      <c r="A76">
        <v>800</v>
      </c>
      <c r="B76" t="s">
        <v>29</v>
      </c>
      <c r="C76">
        <v>25</v>
      </c>
      <c r="D76">
        <v>72</v>
      </c>
    </row>
    <row r="79" spans="1:5" x14ac:dyDescent="0.25">
      <c r="A79" s="4" t="s">
        <v>21</v>
      </c>
      <c r="B79" s="4" t="s">
        <v>22</v>
      </c>
      <c r="C79" s="4" t="s">
        <v>23</v>
      </c>
      <c r="D79" s="4" t="s">
        <v>24</v>
      </c>
      <c r="E79" s="4" t="s">
        <v>25</v>
      </c>
    </row>
    <row r="80" spans="1:5" x14ac:dyDescent="0.25">
      <c r="A80">
        <v>200</v>
      </c>
      <c r="B80" t="s">
        <v>26</v>
      </c>
      <c r="C80">
        <v>10</v>
      </c>
      <c r="D80">
        <v>24</v>
      </c>
      <c r="E80" s="5" t="s">
        <v>77</v>
      </c>
    </row>
    <row r="81" spans="1:8" x14ac:dyDescent="0.25">
      <c r="A81">
        <v>200</v>
      </c>
      <c r="B81" t="s">
        <v>28</v>
      </c>
      <c r="C81">
        <v>5</v>
      </c>
      <c r="D81">
        <v>24</v>
      </c>
      <c r="G81" s="4" t="s">
        <v>73</v>
      </c>
      <c r="H81" s="4" t="s">
        <v>74</v>
      </c>
    </row>
    <row r="82" spans="1:8" x14ac:dyDescent="0.25">
      <c r="A82">
        <v>200</v>
      </c>
      <c r="B82" t="s">
        <v>29</v>
      </c>
      <c r="C82">
        <v>10</v>
      </c>
      <c r="D82">
        <v>24</v>
      </c>
      <c r="G82">
        <v>200</v>
      </c>
      <c r="H82" s="6">
        <f>AVERAGE(C80:C82)</f>
        <v>8.3333333333333339</v>
      </c>
    </row>
    <row r="83" spans="1:8" x14ac:dyDescent="0.25">
      <c r="A83">
        <v>400</v>
      </c>
      <c r="B83" t="s">
        <v>26</v>
      </c>
      <c r="C83">
        <v>8</v>
      </c>
      <c r="D83">
        <v>24</v>
      </c>
      <c r="G83">
        <v>400</v>
      </c>
      <c r="H83" s="6">
        <f>AVERAGE(C83:C85)</f>
        <v>9.3333333333333339</v>
      </c>
    </row>
    <row r="84" spans="1:8" x14ac:dyDescent="0.25">
      <c r="A84">
        <v>400</v>
      </c>
      <c r="B84" t="s">
        <v>28</v>
      </c>
      <c r="C84">
        <v>10</v>
      </c>
      <c r="D84">
        <v>24</v>
      </c>
      <c r="G84">
        <v>600</v>
      </c>
      <c r="H84" s="6">
        <f>AVERAGE(C86:C88)</f>
        <v>10</v>
      </c>
    </row>
    <row r="85" spans="1:8" x14ac:dyDescent="0.25">
      <c r="A85">
        <v>400</v>
      </c>
      <c r="B85" t="s">
        <v>29</v>
      </c>
      <c r="C85">
        <v>10</v>
      </c>
      <c r="D85">
        <v>24</v>
      </c>
      <c r="G85">
        <v>800</v>
      </c>
      <c r="H85" s="6">
        <f>AVERAGE(C89:C91)</f>
        <v>11.666666666666666</v>
      </c>
    </row>
    <row r="86" spans="1:8" x14ac:dyDescent="0.25">
      <c r="A86">
        <v>600</v>
      </c>
      <c r="B86" t="s">
        <v>26</v>
      </c>
      <c r="C86">
        <v>10</v>
      </c>
      <c r="D86">
        <v>24</v>
      </c>
    </row>
    <row r="87" spans="1:8" x14ac:dyDescent="0.25">
      <c r="A87">
        <v>600</v>
      </c>
      <c r="B87" t="s">
        <v>28</v>
      </c>
      <c r="C87">
        <v>10</v>
      </c>
      <c r="D87">
        <v>24</v>
      </c>
    </row>
    <row r="88" spans="1:8" x14ac:dyDescent="0.25">
      <c r="A88">
        <v>600</v>
      </c>
      <c r="B88" t="s">
        <v>29</v>
      </c>
      <c r="C88">
        <v>10</v>
      </c>
      <c r="D88">
        <v>24</v>
      </c>
    </row>
    <row r="89" spans="1:8" x14ac:dyDescent="0.25">
      <c r="A89">
        <v>800</v>
      </c>
      <c r="B89" t="s">
        <v>26</v>
      </c>
      <c r="C89">
        <v>10</v>
      </c>
      <c r="D89">
        <v>24</v>
      </c>
    </row>
    <row r="90" spans="1:8" x14ac:dyDescent="0.25">
      <c r="A90">
        <v>800</v>
      </c>
      <c r="B90" t="s">
        <v>29</v>
      </c>
      <c r="C90">
        <v>10</v>
      </c>
      <c r="D90">
        <v>24</v>
      </c>
    </row>
    <row r="91" spans="1:8" x14ac:dyDescent="0.25">
      <c r="A91">
        <v>800</v>
      </c>
      <c r="B91" t="s">
        <v>30</v>
      </c>
      <c r="C91">
        <v>15</v>
      </c>
      <c r="D91">
        <v>24</v>
      </c>
    </row>
    <row r="92" spans="1:8" hidden="1" x14ac:dyDescent="0.25">
      <c r="A92">
        <v>200</v>
      </c>
      <c r="B92" t="s">
        <v>26</v>
      </c>
      <c r="C92">
        <v>10</v>
      </c>
      <c r="D92">
        <v>48</v>
      </c>
    </row>
    <row r="93" spans="1:8" hidden="1" x14ac:dyDescent="0.25">
      <c r="A93">
        <v>200</v>
      </c>
      <c r="B93" t="s">
        <v>28</v>
      </c>
      <c r="C93">
        <v>5</v>
      </c>
      <c r="D93">
        <v>48</v>
      </c>
    </row>
    <row r="94" spans="1:8" hidden="1" x14ac:dyDescent="0.25">
      <c r="A94">
        <v>200</v>
      </c>
      <c r="B94" t="s">
        <v>29</v>
      </c>
      <c r="C94">
        <v>10</v>
      </c>
      <c r="D94">
        <v>48</v>
      </c>
    </row>
    <row r="95" spans="1:8" hidden="1" x14ac:dyDescent="0.25">
      <c r="A95">
        <v>400</v>
      </c>
      <c r="B95" t="s">
        <v>26</v>
      </c>
      <c r="C95">
        <v>15</v>
      </c>
      <c r="D95">
        <v>48</v>
      </c>
    </row>
    <row r="96" spans="1:8" hidden="1" x14ac:dyDescent="0.25">
      <c r="A96">
        <v>400</v>
      </c>
      <c r="B96" t="s">
        <v>28</v>
      </c>
      <c r="C96">
        <v>15</v>
      </c>
      <c r="D96">
        <v>48</v>
      </c>
    </row>
    <row r="97" spans="1:4" hidden="1" x14ac:dyDescent="0.25">
      <c r="A97">
        <v>400</v>
      </c>
      <c r="B97" t="s">
        <v>29</v>
      </c>
      <c r="C97">
        <v>15</v>
      </c>
      <c r="D97">
        <v>48</v>
      </c>
    </row>
    <row r="98" spans="1:4" hidden="1" x14ac:dyDescent="0.25">
      <c r="A98">
        <v>600</v>
      </c>
      <c r="B98" t="s">
        <v>26</v>
      </c>
      <c r="C98">
        <v>20</v>
      </c>
      <c r="D98">
        <v>48</v>
      </c>
    </row>
    <row r="99" spans="1:4" hidden="1" x14ac:dyDescent="0.25">
      <c r="A99">
        <v>600</v>
      </c>
      <c r="B99" t="s">
        <v>28</v>
      </c>
      <c r="C99">
        <v>15</v>
      </c>
      <c r="D99">
        <v>48</v>
      </c>
    </row>
    <row r="100" spans="1:4" hidden="1" x14ac:dyDescent="0.25">
      <c r="A100">
        <v>600</v>
      </c>
      <c r="B100" t="s">
        <v>29</v>
      </c>
      <c r="C100">
        <v>15</v>
      </c>
      <c r="D100">
        <v>48</v>
      </c>
    </row>
    <row r="101" spans="1:4" hidden="1" x14ac:dyDescent="0.25">
      <c r="A101">
        <v>800</v>
      </c>
      <c r="B101" t="s">
        <v>26</v>
      </c>
      <c r="C101">
        <v>20</v>
      </c>
      <c r="D101">
        <v>48</v>
      </c>
    </row>
    <row r="102" spans="1:4" hidden="1" x14ac:dyDescent="0.25">
      <c r="A102">
        <v>800</v>
      </c>
      <c r="B102" t="s">
        <v>29</v>
      </c>
      <c r="C102">
        <v>15</v>
      </c>
      <c r="D102">
        <v>48</v>
      </c>
    </row>
    <row r="103" spans="1:4" hidden="1" x14ac:dyDescent="0.25">
      <c r="A103">
        <v>800</v>
      </c>
      <c r="B103" t="s">
        <v>30</v>
      </c>
      <c r="C103">
        <v>20</v>
      </c>
      <c r="D103">
        <v>48</v>
      </c>
    </row>
    <row r="104" spans="1:4" hidden="1" x14ac:dyDescent="0.25">
      <c r="A104">
        <v>200</v>
      </c>
      <c r="B104" t="s">
        <v>26</v>
      </c>
      <c r="C104">
        <v>15</v>
      </c>
      <c r="D104">
        <v>72</v>
      </c>
    </row>
    <row r="105" spans="1:4" hidden="1" x14ac:dyDescent="0.25">
      <c r="A105">
        <v>200</v>
      </c>
      <c r="B105" t="s">
        <v>28</v>
      </c>
      <c r="C105">
        <v>10</v>
      </c>
      <c r="D105">
        <v>72</v>
      </c>
    </row>
    <row r="106" spans="1:4" hidden="1" x14ac:dyDescent="0.25">
      <c r="A106">
        <v>200</v>
      </c>
      <c r="B106" t="s">
        <v>29</v>
      </c>
      <c r="C106">
        <v>15</v>
      </c>
      <c r="D106">
        <v>72</v>
      </c>
    </row>
    <row r="107" spans="1:4" hidden="1" x14ac:dyDescent="0.25">
      <c r="A107">
        <v>400</v>
      </c>
      <c r="B107" t="s">
        <v>26</v>
      </c>
      <c r="C107">
        <v>20</v>
      </c>
      <c r="D107">
        <v>72</v>
      </c>
    </row>
    <row r="108" spans="1:4" hidden="1" x14ac:dyDescent="0.25">
      <c r="A108">
        <v>400</v>
      </c>
      <c r="B108" t="s">
        <v>28</v>
      </c>
      <c r="C108">
        <v>15</v>
      </c>
      <c r="D108">
        <v>72</v>
      </c>
    </row>
    <row r="109" spans="1:4" hidden="1" x14ac:dyDescent="0.25">
      <c r="A109">
        <v>400</v>
      </c>
      <c r="B109" t="s">
        <v>29</v>
      </c>
      <c r="C109">
        <v>15</v>
      </c>
      <c r="D109">
        <v>72</v>
      </c>
    </row>
    <row r="110" spans="1:4" hidden="1" x14ac:dyDescent="0.25">
      <c r="A110">
        <v>600</v>
      </c>
      <c r="B110" t="s">
        <v>26</v>
      </c>
      <c r="C110">
        <v>20</v>
      </c>
      <c r="D110">
        <v>72</v>
      </c>
    </row>
    <row r="111" spans="1:4" hidden="1" x14ac:dyDescent="0.25">
      <c r="A111">
        <v>600</v>
      </c>
      <c r="B111" t="s">
        <v>28</v>
      </c>
      <c r="C111">
        <v>20</v>
      </c>
      <c r="D111">
        <v>72</v>
      </c>
    </row>
    <row r="112" spans="1:4" hidden="1" x14ac:dyDescent="0.25">
      <c r="A112">
        <v>600</v>
      </c>
      <c r="B112" t="s">
        <v>29</v>
      </c>
      <c r="C112">
        <v>15</v>
      </c>
      <c r="D112">
        <v>72</v>
      </c>
    </row>
    <row r="113" spans="1:4" hidden="1" x14ac:dyDescent="0.25">
      <c r="A113">
        <v>800</v>
      </c>
      <c r="B113" t="s">
        <v>26</v>
      </c>
      <c r="C113">
        <v>20</v>
      </c>
      <c r="D113">
        <v>72</v>
      </c>
    </row>
    <row r="114" spans="1:4" hidden="1" x14ac:dyDescent="0.25">
      <c r="A114">
        <v>800</v>
      </c>
      <c r="B114" t="s">
        <v>29</v>
      </c>
      <c r="C114">
        <v>20</v>
      </c>
      <c r="D114">
        <v>72</v>
      </c>
    </row>
    <row r="115" spans="1:4" hidden="1" x14ac:dyDescent="0.25">
      <c r="A115">
        <v>800</v>
      </c>
      <c r="B115" t="s">
        <v>30</v>
      </c>
      <c r="C115">
        <v>20</v>
      </c>
      <c r="D115">
        <v>72</v>
      </c>
    </row>
  </sheetData>
  <autoFilter ref="A1:E37" xr:uid="{C8A439FF-C578-4BD4-8F15-7A0F5C2E6A2D}">
    <filterColumn colId="3">
      <filters>
        <filter val="24"/>
      </filters>
    </filterColumn>
  </autoFilter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Alimosho LGA</vt:lpstr>
      <vt:lpstr>Alimosho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2026-05-20T08:40:05Z</dcterms:created>
  <dcterms:modified xsi:type="dcterms:W3CDTF">2026-05-21T07:43:56Z</dcterms:modified>
</cp:coreProperties>
</file>